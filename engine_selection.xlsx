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VD_Group\"/>
    </mc:Choice>
  </mc:AlternateContent>
  <xr:revisionPtr revIDLastSave="0" documentId="13_ncr:1_{AD35CC98-08C5-4DAF-B099-36D12197EBA2}" xr6:coauthVersionLast="47" xr6:coauthVersionMax="47" xr10:uidLastSave="{00000000-0000-0000-0000-000000000000}"/>
  <bookViews>
    <workbookView xWindow="10476" yWindow="1740" windowWidth="11016" windowHeight="11808" tabRatio="500" xr2:uid="{00000000-000D-0000-FFFF-FFFF00000000}"/>
  </bookViews>
  <sheets>
    <sheet name="Inputs" sheetId="1" r:id="rId1"/>
    <sheet name="Rubber Engine" sheetId="2" r:id="rId2"/>
    <sheet name="Real Engin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2" l="1"/>
  <c r="F10" i="2"/>
  <c r="G9" i="2"/>
  <c r="F9" i="2"/>
  <c r="G8" i="2"/>
  <c r="F8" i="2"/>
  <c r="B5" i="2"/>
  <c r="B9" i="1"/>
  <c r="F6" i="3" l="1"/>
  <c r="E5" i="3"/>
  <c r="E6" i="3"/>
  <c r="F5" i="3"/>
  <c r="B10" i="1"/>
  <c r="B4" i="2" s="1"/>
  <c r="C10" i="2" l="1"/>
  <c r="H10" i="2"/>
  <c r="C9" i="2"/>
  <c r="B8" i="2"/>
  <c r="C8" i="2"/>
  <c r="D8" i="2"/>
  <c r="E8" i="2" s="1"/>
  <c r="H8" i="2"/>
  <c r="B9" i="2"/>
  <c r="D9" i="2"/>
  <c r="E9" i="2" s="1"/>
  <c r="H9" i="2"/>
  <c r="B10" i="2"/>
  <c r="D10" i="2"/>
  <c r="E10" i="2" s="1"/>
</calcChain>
</file>

<file path=xl/sharedStrings.xml><?xml version="1.0" encoding="utf-8"?>
<sst xmlns="http://schemas.openxmlformats.org/spreadsheetml/2006/main" count="47" uniqueCount="45">
  <si>
    <t>Engine Selection Inputs</t>
  </si>
  <si>
    <t>Parameter</t>
  </si>
  <si>
    <t>Value</t>
  </si>
  <si>
    <t>Source / note</t>
  </si>
  <si>
    <t>Maximum take-off weight, W_0 (kg)</t>
  </si>
  <si>
    <t>Thrust-to-weight ratio, T/W</t>
  </si>
  <si>
    <t>Gravity, g (m/s^2)</t>
  </si>
  <si>
    <t>Standard</t>
  </si>
  <si>
    <t>Number of engines</t>
  </si>
  <si>
    <t>Twin-engine assumption</t>
  </si>
  <si>
    <t>Cruise Mach number</t>
  </si>
  <si>
    <t>Total take-off thrust required (kN)</t>
  </si>
  <si>
    <t>Thrust required per engine (kN)</t>
  </si>
  <si>
    <t>Rubber Engine Estimates (Raymer fitted equations, non-afterburning)</t>
  </si>
  <si>
    <t>Equations from the Propulsion lecture (Raymer). Valid only within stated limits; they overpredict fan diameter against real engines. T is per-engine take-off thrust (kN).</t>
  </si>
  <si>
    <t>Per-engine take-off thrust, T (kN)</t>
  </si>
  <si>
    <t>Mach number, M</t>
  </si>
  <si>
    <t>Bypass ratio (BPR)</t>
  </si>
  <si>
    <t>Engine mass W (kg)</t>
  </si>
  <si>
    <t>Engine length L (m)</t>
  </si>
  <si>
    <t>Fan diameter D (m)</t>
  </si>
  <si>
    <t>Ground clearance, D/2 (m)</t>
  </si>
  <si>
    <t>SFC max T (mg/N.s)</t>
  </si>
  <si>
    <t>SFC cruise (mg/N.s)</t>
  </si>
  <si>
    <t>Cruise thrust (kN)</t>
  </si>
  <si>
    <t>Notes</t>
  </si>
  <si>
    <t>BPR values in column A are inputs (yellow). Edit them to test other bypass ratios.</t>
  </si>
  <si>
    <t>Engine length has no BPR term in the fitted equation, so it is the same for every row.</t>
  </si>
  <si>
    <t>Ground clearance uses the lecture rule: engine half the fan diameter above the ground.</t>
  </si>
  <si>
    <t>Cruise SFC from the earlier wing notes was 14.1 mg/N.s, which lies between the BPR 9 and BPR 12 rows.</t>
  </si>
  <si>
    <t>Real Engine Reference (for comparison, verify before use)</t>
  </si>
  <si>
    <t>Figures entered from memory, not checked against manufacturer data. Confirm each value before using it in a report.</t>
  </si>
  <si>
    <t>Engine</t>
  </si>
  <si>
    <t>Take-off thrust (kN)</t>
  </si>
  <si>
    <t>BPR</t>
  </si>
  <si>
    <t>Fan diameter (m)</t>
  </si>
  <si>
    <t>Engines needed for total thrust</t>
  </si>
  <si>
    <t>Thrust margin, twin (%)</t>
  </si>
  <si>
    <t>GE90-115B</t>
  </si>
  <si>
    <t>Closest to 580 kN per engine; large for 150 pax</t>
  </si>
  <si>
    <t>Trent XWB-97</t>
  </si>
  <si>
    <t>Realistic fit if T/W drops to about 0.25 with two engines</t>
  </si>
  <si>
    <t>Engines needed = total thrust / engine thrust, rounded up. Twin margin uses the 2-engine assumption on Inputs. A negative margin means the twin is short of the total thrust requirement.</t>
  </si>
  <si>
    <t>Output</t>
  </si>
  <si>
    <t>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</si>
</sst>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2" fontId="5" fillId="0" borderId="0" xfId="0" applyNumberFormat="1" applyFont="1"/>
    <xf numFmtId="0" fontId="3" fillId="0" borderId="0" xfId="0" applyFont="1"/>
    <xf numFmtId="3" fontId="4" fillId="0" borderId="0" xfId="0" applyNumberFormat="1" applyFont="1"/>
    <xf numFmtId="0" fontId="6" fillId="0" borderId="0" xfId="0" applyFont="1"/>
    <xf numFmtId="2" fontId="4" fillId="0" borderId="0" xfId="0" applyNumberFormat="1" applyFont="1"/>
    <xf numFmtId="0" fontId="3" fillId="2" borderId="0" xfId="0" applyFont="1" applyFill="1" applyAlignment="1">
      <alignment vertical="center" wrapText="1"/>
    </xf>
    <xf numFmtId="166" fontId="5" fillId="3" borderId="0" xfId="0" applyNumberFormat="1" applyFont="1" applyFill="1"/>
    <xf numFmtId="166" fontId="4" fillId="0" borderId="0" xfId="0" applyNumberFormat="1" applyFont="1"/>
    <xf numFmtId="0" fontId="5" fillId="0" borderId="0" xfId="0" applyFont="1"/>
    <xf numFmtId="166" fontId="5" fillId="0" borderId="0" xfId="0" applyNumberFormat="1" applyFont="1"/>
    <xf numFmtId="1" fontId="4" fillId="0" borderId="0" xfId="0" applyNumberFormat="1" applyFont="1"/>
    <xf numFmtId="1" fontId="5" fillId="4" borderId="0" xfId="0" applyNumberFormat="1" applyFont="1" applyFill="1"/>
    <xf numFmtId="165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Normal="100" workbookViewId="0">
      <selection activeCell="C12" sqref="C12"/>
    </sheetView>
  </sheetViews>
  <sheetFormatPr defaultColWidth="8.6640625" defaultRowHeight="14.4" x14ac:dyDescent="0.3"/>
  <cols>
    <col min="1" max="1" width="38" customWidth="1"/>
    <col min="2" max="2" width="14" customWidth="1"/>
    <col min="3" max="3" width="38" customWidth="1"/>
  </cols>
  <sheetData>
    <row r="1" spans="1:3" ht="16.8" x14ac:dyDescent="0.3">
      <c r="A1" s="1" t="s">
        <v>0</v>
      </c>
      <c r="B1" s="2"/>
      <c r="C1" s="2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4" t="s">
        <v>4</v>
      </c>
      <c r="B3" s="5">
        <v>356073.20699999999</v>
      </c>
      <c r="C3" s="4" t="s">
        <v>43</v>
      </c>
    </row>
    <row r="4" spans="1:3" x14ac:dyDescent="0.3">
      <c r="A4" s="4" t="s">
        <v>5</v>
      </c>
      <c r="B4" s="18">
        <v>0.33200000000000002</v>
      </c>
      <c r="C4" s="4" t="s">
        <v>43</v>
      </c>
    </row>
    <row r="5" spans="1:3" x14ac:dyDescent="0.3">
      <c r="A5" s="4" t="s">
        <v>6</v>
      </c>
      <c r="B5" s="6">
        <v>9.81</v>
      </c>
      <c r="C5" s="4" t="s">
        <v>7</v>
      </c>
    </row>
    <row r="6" spans="1:3" x14ac:dyDescent="0.3">
      <c r="A6" s="4" t="s">
        <v>8</v>
      </c>
      <c r="B6" s="17">
        <v>2</v>
      </c>
      <c r="C6" s="4" t="s">
        <v>9</v>
      </c>
    </row>
    <row r="7" spans="1:3" x14ac:dyDescent="0.3">
      <c r="A7" s="4" t="s">
        <v>10</v>
      </c>
      <c r="B7" s="6">
        <v>0.82</v>
      </c>
      <c r="C7" s="4" t="s">
        <v>44</v>
      </c>
    </row>
    <row r="8" spans="1:3" x14ac:dyDescent="0.3">
      <c r="A8" s="2"/>
      <c r="B8" s="2"/>
      <c r="C8" s="2"/>
    </row>
    <row r="9" spans="1:3" x14ac:dyDescent="0.3">
      <c r="A9" s="7" t="s">
        <v>11</v>
      </c>
      <c r="B9" s="8">
        <f>B4*B3*B5/1000</f>
        <v>1159.70194934244</v>
      </c>
      <c r="C9" s="2"/>
    </row>
    <row r="10" spans="1:3" x14ac:dyDescent="0.3">
      <c r="A10" s="7" t="s">
        <v>12</v>
      </c>
      <c r="B10" s="8">
        <f>B9/B6</f>
        <v>579.85097467122</v>
      </c>
      <c r="C10" s="2"/>
    </row>
    <row r="11" spans="1:3" x14ac:dyDescent="0.3">
      <c r="A11" s="2"/>
      <c r="B11" s="2"/>
      <c r="C11" s="2"/>
    </row>
    <row r="12" spans="1:3" x14ac:dyDescent="0.3">
      <c r="A12" s="9"/>
      <c r="B12" s="2"/>
      <c r="C12" s="2"/>
    </row>
    <row r="13" spans="1:3" x14ac:dyDescent="0.3">
      <c r="C13" s="2"/>
    </row>
    <row r="14" spans="1:3" x14ac:dyDescent="0.3">
      <c r="C1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/>
  </sheetViews>
  <sheetFormatPr defaultColWidth="8.6640625" defaultRowHeight="14.4" x14ac:dyDescent="0.3"/>
  <cols>
    <col min="1" max="1" width="22" customWidth="1"/>
    <col min="2" max="8" width="16" customWidth="1"/>
  </cols>
  <sheetData>
    <row r="1" spans="1:8" ht="16.8" x14ac:dyDescent="0.3">
      <c r="A1" s="1" t="s">
        <v>13</v>
      </c>
      <c r="B1" s="2"/>
      <c r="C1" s="2"/>
      <c r="D1" s="2"/>
      <c r="E1" s="2"/>
      <c r="F1" s="2"/>
      <c r="G1" s="2"/>
      <c r="H1" s="2"/>
    </row>
    <row r="2" spans="1:8" x14ac:dyDescent="0.3">
      <c r="A2" s="9" t="s">
        <v>14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7" t="s">
        <v>15</v>
      </c>
      <c r="B4" s="8">
        <f>Inputs!B10</f>
        <v>579.85097467122</v>
      </c>
      <c r="C4" s="2"/>
      <c r="D4" s="2"/>
      <c r="E4" s="2"/>
      <c r="F4" s="2"/>
      <c r="G4" s="2"/>
      <c r="H4" s="2"/>
    </row>
    <row r="5" spans="1:8" x14ac:dyDescent="0.3">
      <c r="A5" s="7" t="s">
        <v>16</v>
      </c>
      <c r="B5" s="10">
        <f>Inputs!B7</f>
        <v>0.82</v>
      </c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ht="42" customHeight="1" x14ac:dyDescent="0.3">
      <c r="A7" s="11" t="s">
        <v>17</v>
      </c>
      <c r="B7" s="11" t="s">
        <v>18</v>
      </c>
      <c r="C7" s="11" t="s">
        <v>19</v>
      </c>
      <c r="D7" s="11" t="s">
        <v>20</v>
      </c>
      <c r="E7" s="11" t="s">
        <v>21</v>
      </c>
      <c r="F7" s="11" t="s">
        <v>22</v>
      </c>
      <c r="G7" s="11" t="s">
        <v>23</v>
      </c>
      <c r="H7" s="11" t="s">
        <v>24</v>
      </c>
    </row>
    <row r="8" spans="1:8" x14ac:dyDescent="0.3">
      <c r="A8" s="12">
        <v>5</v>
      </c>
      <c r="B8" s="8">
        <f>14.7*$B$4^1.1*EXP(-0.045*A8)</f>
        <v>12860.240990004257</v>
      </c>
      <c r="C8" s="10">
        <f>0.49*$B$4^0.4*$B$5^0.2</f>
        <v>6.00185372992759</v>
      </c>
      <c r="D8" s="10">
        <f>0.15*$B$4^0.5*EXP(0.04*A8)</f>
        <v>4.411724165417926</v>
      </c>
      <c r="E8" s="10">
        <f>D8/2</f>
        <v>2.205862082708963</v>
      </c>
      <c r="F8" s="13">
        <f>19*EXP(-0.12*A8)</f>
        <v>10.427421085786502</v>
      </c>
      <c r="G8" s="13">
        <f>25*EXP(-0.05*A8)</f>
        <v>19.470019576785123</v>
      </c>
      <c r="H8" s="13">
        <f>0.35*$B$4^0.9*EXP(0.02*A8)</f>
        <v>118.70861688332111</v>
      </c>
    </row>
    <row r="9" spans="1:8" x14ac:dyDescent="0.3">
      <c r="A9" s="12">
        <v>9</v>
      </c>
      <c r="B9" s="8">
        <f>14.7*$B$4^1.1*EXP(-0.045*A9)</f>
        <v>10741.77621052076</v>
      </c>
      <c r="C9" s="10">
        <f>0.49*$B$4^0.4*$B$5^0.2</f>
        <v>6.00185372992759</v>
      </c>
      <c r="D9" s="10">
        <f>0.15*$B$4^0.5*EXP(0.04*A9)</f>
        <v>5.1772062679352064</v>
      </c>
      <c r="E9" s="10">
        <f>D9/2</f>
        <v>2.5886031339676032</v>
      </c>
      <c r="F9" s="13">
        <f>19*EXP(-0.12*A9)</f>
        <v>6.4523149872538434</v>
      </c>
      <c r="G9" s="13">
        <f>25*EXP(-0.05*A9)</f>
        <v>15.940703790544333</v>
      </c>
      <c r="H9" s="13">
        <f>0.35*$B$4^0.9*EXP(0.02*A9)</f>
        <v>128.595509491283</v>
      </c>
    </row>
    <row r="10" spans="1:8" x14ac:dyDescent="0.3">
      <c r="A10" s="12">
        <v>12</v>
      </c>
      <c r="B10" s="8">
        <f>14.7*$B$4^1.1*EXP(-0.045*A10)</f>
        <v>9385.2607949239864</v>
      </c>
      <c r="C10" s="10">
        <f>0.49*$B$4^0.4*$B$5^0.2</f>
        <v>6.00185372992759</v>
      </c>
      <c r="D10" s="10">
        <f>0.15*$B$4^0.5*EXP(0.04*A10)</f>
        <v>5.8372837670739557</v>
      </c>
      <c r="E10" s="10">
        <f>D10/2</f>
        <v>2.9186418835369778</v>
      </c>
      <c r="F10" s="13">
        <f>19*EXP(-0.12*A10)</f>
        <v>4.5016274149603133</v>
      </c>
      <c r="G10" s="13">
        <f>25*EXP(-0.05*A10)</f>
        <v>13.72029090235066</v>
      </c>
      <c r="H10" s="13">
        <f>0.35*$B$4^0.9*EXP(0.02*A10)</f>
        <v>136.54741169946496</v>
      </c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7" t="s">
        <v>25</v>
      </c>
      <c r="B12" s="2"/>
      <c r="C12" s="2"/>
      <c r="D12" s="2"/>
      <c r="E12" s="2"/>
      <c r="F12" s="2"/>
      <c r="G12" s="2"/>
      <c r="H12" s="2"/>
    </row>
    <row r="13" spans="1:8" x14ac:dyDescent="0.3">
      <c r="A13" s="4" t="s">
        <v>26</v>
      </c>
      <c r="B13" s="2"/>
      <c r="C13" s="2"/>
      <c r="D13" s="2"/>
      <c r="E13" s="2"/>
      <c r="F13" s="2"/>
      <c r="G13" s="2"/>
      <c r="H13" s="2"/>
    </row>
    <row r="14" spans="1:8" x14ac:dyDescent="0.3">
      <c r="A14" s="4" t="s">
        <v>27</v>
      </c>
      <c r="B14" s="2"/>
      <c r="C14" s="2"/>
      <c r="D14" s="2"/>
      <c r="E14" s="2"/>
      <c r="F14" s="2"/>
      <c r="G14" s="2"/>
      <c r="H14" s="2"/>
    </row>
    <row r="15" spans="1:8" x14ac:dyDescent="0.3">
      <c r="A15" s="4" t="s">
        <v>28</v>
      </c>
      <c r="B15" s="2"/>
      <c r="C15" s="2"/>
      <c r="D15" s="2"/>
      <c r="E15" s="2"/>
      <c r="F15" s="2"/>
      <c r="G15" s="2"/>
      <c r="H15" s="2"/>
    </row>
    <row r="16" spans="1:8" x14ac:dyDescent="0.3">
      <c r="A16" s="4" t="s">
        <v>29</v>
      </c>
      <c r="B16" s="2"/>
      <c r="C16" s="2"/>
      <c r="D16" s="2"/>
      <c r="E16" s="2"/>
      <c r="F16" s="2"/>
      <c r="G16" s="2"/>
      <c r="H1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/>
  </sheetViews>
  <sheetFormatPr defaultColWidth="8.6640625" defaultRowHeight="14.4" x14ac:dyDescent="0.3"/>
  <cols>
    <col min="1" max="6" width="18" customWidth="1"/>
    <col min="7" max="7" width="52" customWidth="1"/>
  </cols>
  <sheetData>
    <row r="1" spans="1:7" ht="16.8" x14ac:dyDescent="0.3">
      <c r="A1" s="1" t="s">
        <v>30</v>
      </c>
      <c r="B1" s="2"/>
      <c r="C1" s="2"/>
      <c r="D1" s="2"/>
      <c r="E1" s="2"/>
      <c r="F1" s="2"/>
      <c r="G1" s="2"/>
    </row>
    <row r="2" spans="1:7" x14ac:dyDescent="0.3">
      <c r="A2" s="9" t="s">
        <v>31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ht="42" customHeight="1" x14ac:dyDescent="0.3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25</v>
      </c>
    </row>
    <row r="5" spans="1:7" x14ac:dyDescent="0.3">
      <c r="A5" s="4" t="s">
        <v>38</v>
      </c>
      <c r="B5" s="14">
        <v>569</v>
      </c>
      <c r="C5" s="15">
        <v>8.6999999999999993</v>
      </c>
      <c r="D5" s="6">
        <v>3.25</v>
      </c>
      <c r="E5" s="16">
        <f>ROUNDUP(Inputs!$B$9/B5,0)</f>
        <v>3</v>
      </c>
      <c r="F5" s="13">
        <f>(B5*Inputs!$B$6/Inputs!$B$9-1)*100</f>
        <v>-1.8713385240703539</v>
      </c>
      <c r="G5" s="4" t="s">
        <v>39</v>
      </c>
    </row>
    <row r="6" spans="1:7" x14ac:dyDescent="0.3">
      <c r="A6" s="4" t="s">
        <v>40</v>
      </c>
      <c r="B6" s="14">
        <v>430</v>
      </c>
      <c r="C6" s="15">
        <v>9.3000000000000007</v>
      </c>
      <c r="D6" s="6">
        <v>3</v>
      </c>
      <c r="E6" s="16">
        <f>ROUNDUP(Inputs!$B$9/B6,0)</f>
        <v>3</v>
      </c>
      <c r="F6" s="13">
        <f>(B6*Inputs!$B$6/Inputs!$B$9-1)*100</f>
        <v>-25.843015053339634</v>
      </c>
      <c r="G6" s="4" t="s">
        <v>41</v>
      </c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9" t="s">
        <v>42</v>
      </c>
      <c r="B8" s="2"/>
      <c r="C8" s="2"/>
      <c r="D8" s="2"/>
      <c r="E8" s="2"/>
      <c r="F8" s="2"/>
      <c r="G8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Rubber Engine</vt:lpstr>
      <vt:lpstr>Real Engines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Liu, Lea</cp:lastModifiedBy>
  <cp:revision>0</cp:revision>
  <dcterms:created xsi:type="dcterms:W3CDTF">2026-10-16T02:35:31Z</dcterms:created>
  <dcterms:modified xsi:type="dcterms:W3CDTF">2026-10-16T02:39:57Z</dcterms:modified>
  <dc:language>en-US</dc:language>
</cp:coreProperties>
</file>